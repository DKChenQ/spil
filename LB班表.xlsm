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CHEN\Desktop\"/>
    </mc:Choice>
  </mc:AlternateContent>
  <xr:revisionPtr revIDLastSave="0" documentId="13_ncr:1_{567877C4-B180-4F4B-8478-08FFD463D5DE}" xr6:coauthVersionLast="47" xr6:coauthVersionMax="47" xr10:uidLastSave="{00000000-0000-0000-0000-000000000000}"/>
  <bookViews>
    <workbookView xWindow="-120" yWindow="-120" windowWidth="29040" windowHeight="15840" tabRatio="842" xr2:uid="{00000000-000D-0000-FFFF-FFFF00000000}"/>
  </bookViews>
  <sheets>
    <sheet name="維修總時數" sheetId="23" r:id="rId1"/>
    <sheet name="01" sheetId="21" r:id="rId2"/>
    <sheet name="行事曆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23" l="1"/>
  <c r="J19" i="23"/>
  <c r="I19" i="23"/>
  <c r="H19" i="23"/>
  <c r="G19" i="23"/>
  <c r="F19" i="23"/>
  <c r="E19" i="23"/>
  <c r="D19" i="23"/>
  <c r="C19" i="23"/>
  <c r="K13" i="23"/>
  <c r="J13" i="23"/>
  <c r="I13" i="23"/>
  <c r="H13" i="23"/>
  <c r="G13" i="23"/>
  <c r="F13" i="23"/>
  <c r="E13" i="23"/>
  <c r="D13" i="23"/>
  <c r="C13" i="23"/>
  <c r="K7" i="23"/>
  <c r="J7" i="23"/>
  <c r="I7" i="23"/>
  <c r="H7" i="23"/>
  <c r="G7" i="23"/>
  <c r="F7" i="23"/>
  <c r="E7" i="23"/>
  <c r="D7" i="23"/>
  <c r="C7" i="23"/>
  <c r="G4" i="21" a="1"/>
  <c r="AK3" i="21" s="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AA16" i="21"/>
  <c r="AB16" i="21"/>
  <c r="AC16" i="21"/>
  <c r="AD16" i="21"/>
  <c r="AE16" i="21"/>
  <c r="AF16" i="21"/>
  <c r="AG16" i="21"/>
  <c r="AH16" i="21"/>
  <c r="AI16" i="21"/>
  <c r="AJ16" i="21"/>
  <c r="AK16" i="21"/>
  <c r="G16" i="21"/>
  <c r="AJ3" i="21" l="1"/>
  <c r="AI3" i="21"/>
  <c r="H3" i="21"/>
  <c r="J3" i="21"/>
  <c r="L3" i="21"/>
  <c r="N3" i="21"/>
  <c r="P3" i="21"/>
  <c r="R3" i="21"/>
  <c r="T3" i="21"/>
  <c r="V3" i="21"/>
  <c r="X3" i="21"/>
  <c r="Z3" i="21"/>
  <c r="AB3" i="21"/>
  <c r="AD3" i="21"/>
  <c r="AF3" i="21"/>
  <c r="AH3" i="21"/>
  <c r="I3" i="21"/>
  <c r="K3" i="21"/>
  <c r="M3" i="21"/>
  <c r="O3" i="21"/>
  <c r="Q3" i="21"/>
  <c r="S3" i="21"/>
  <c r="U3" i="21"/>
  <c r="W3" i="21"/>
  <c r="Y3" i="21"/>
  <c r="AA3" i="21"/>
  <c r="AC3" i="21"/>
  <c r="AE3" i="21"/>
  <c r="AG3" i="21"/>
  <c r="G4" i="21"/>
  <c r="G3" i="21" s="1"/>
  <c r="AN6" i="21"/>
  <c r="AM6" i="21"/>
  <c r="AL6" i="21"/>
  <c r="AN15" i="21"/>
  <c r="AM15" i="21"/>
  <c r="AL15" i="21"/>
  <c r="AN14" i="21"/>
  <c r="AM14" i="21"/>
  <c r="AL14" i="21"/>
  <c r="AN13" i="21"/>
  <c r="AM13" i="21"/>
  <c r="AL13" i="21"/>
  <c r="AN12" i="21"/>
  <c r="AM12" i="21"/>
  <c r="AL12" i="21"/>
  <c r="AN10" i="21"/>
  <c r="AM10" i="21"/>
  <c r="AL10" i="21"/>
  <c r="AN9" i="21"/>
  <c r="AM9" i="21"/>
  <c r="AL9" i="21"/>
  <c r="AN11" i="21"/>
  <c r="AM11" i="21"/>
  <c r="AL11" i="21"/>
  <c r="AN8" i="21"/>
  <c r="AM8" i="21"/>
  <c r="AL8" i="21"/>
  <c r="AN7" i="21"/>
  <c r="AM7" i="21"/>
  <c r="AL7" i="21"/>
  <c r="AN5" i="21"/>
  <c r="AM5" i="21"/>
  <c r="AL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19" authorId="0" shapeId="0" xr:uid="{49D8D1A2-1452-41BC-BB10-E351C76FA866}">
      <text>
        <r>
          <rPr>
            <sz val="14"/>
            <color indexed="81"/>
            <rFont val="微軟正黑體"/>
            <family val="2"/>
            <charset val="136"/>
          </rPr>
          <t>(OnLine維修+OffLine維修)/每週值班總人數X600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<sst xmlns="http://schemas.openxmlformats.org/spreadsheetml/2006/main" count="112" uniqueCount="65">
  <si>
    <r>
      <rPr>
        <sz val="11"/>
        <rFont val="標楷體"/>
        <family val="4"/>
        <charset val="136"/>
      </rPr>
      <t>上班
日數</t>
    </r>
  </si>
  <si>
    <r>
      <rPr>
        <sz val="11"/>
        <rFont val="標楷體"/>
        <family val="4"/>
        <charset val="136"/>
      </rPr>
      <t>加班時數</t>
    </r>
    <phoneticPr fontId="11" type="noConversion"/>
  </si>
  <si>
    <r>
      <rPr>
        <sz val="11"/>
        <rFont val="標楷體"/>
        <family val="4"/>
        <charset val="136"/>
      </rPr>
      <t>請假時數</t>
    </r>
    <phoneticPr fontId="11" type="noConversion"/>
  </si>
  <si>
    <t>NO.</t>
  </si>
  <si>
    <t>NAME</t>
  </si>
  <si>
    <t>DATE</t>
  </si>
  <si>
    <t>C15</t>
    <phoneticPr fontId="11" type="noConversion"/>
  </si>
  <si>
    <t>×</t>
    <phoneticPr fontId="11" type="noConversion"/>
  </si>
  <si>
    <t>☆</t>
    <phoneticPr fontId="11" type="noConversion"/>
  </si>
  <si>
    <t>▲</t>
  </si>
  <si>
    <r>
      <rPr>
        <sz val="11"/>
        <color theme="1"/>
        <rFont val="標楷體"/>
        <family val="4"/>
        <charset val="136"/>
      </rPr>
      <t>上班人數</t>
    </r>
    <phoneticPr fontId="3" type="noConversion"/>
  </si>
  <si>
    <t>○:輪班日     ×:輪休日</t>
    <phoneticPr fontId="11" type="noConversion"/>
  </si>
  <si>
    <r>
      <t xml:space="preserve">1/1 </t>
    </r>
    <r>
      <rPr>
        <sz val="12"/>
        <color rgb="FFFF0000"/>
        <rFont val="新細明體"/>
        <family val="2"/>
        <charset val="136"/>
      </rPr>
      <t xml:space="preserve">元旦
</t>
    </r>
    <r>
      <rPr>
        <sz val="12"/>
        <color rgb="FFFF0000"/>
        <rFont val="Calibri"/>
        <family val="2"/>
      </rPr>
      <t xml:space="preserve">1/13 </t>
    </r>
    <r>
      <rPr>
        <sz val="12"/>
        <color rgb="FFFF0000"/>
        <rFont val="新細明體"/>
        <family val="2"/>
        <charset val="136"/>
      </rPr>
      <t xml:space="preserve">總統選舉
</t>
    </r>
    <r>
      <rPr>
        <sz val="12"/>
        <color rgb="FFFF0000"/>
        <rFont val="Calibri"/>
        <family val="2"/>
      </rPr>
      <t xml:space="preserve">1/20 </t>
    </r>
    <r>
      <rPr>
        <sz val="12"/>
        <color rgb="FFFF0000"/>
        <rFont val="新細明體"/>
        <family val="2"/>
        <charset val="136"/>
      </rPr>
      <t>尾牙</t>
    </r>
    <phoneticPr fontId="1" type="noConversion"/>
  </si>
  <si>
    <t>▲ : 加班     ☆:請假…等</t>
    <phoneticPr fontId="11" type="noConversion"/>
  </si>
  <si>
    <t>廠區</t>
    <phoneticPr fontId="11" type="noConversion"/>
  </si>
  <si>
    <t>班別</t>
    <phoneticPr fontId="11" type="noConversion"/>
  </si>
  <si>
    <t>HS</t>
    <phoneticPr fontId="1" type="noConversion"/>
  </si>
  <si>
    <t>陳吳蘇</t>
    <phoneticPr fontId="11" type="noConversion"/>
  </si>
  <si>
    <t>徐源懋</t>
    <phoneticPr fontId="11" type="noConversion"/>
  </si>
  <si>
    <t>古鴻有</t>
    <phoneticPr fontId="1" type="noConversion"/>
  </si>
  <si>
    <r>
      <t>DB(4BA)</t>
    </r>
    <r>
      <rPr>
        <sz val="11"/>
        <color rgb="FF000000"/>
        <rFont val="細明體"/>
        <family val="2"/>
        <charset val="136"/>
      </rPr>
      <t>品管</t>
    </r>
    <r>
      <rPr>
        <sz val="11"/>
        <color indexed="8"/>
        <rFont val="Calibri"/>
        <family val="2"/>
      </rPr>
      <t xml:space="preserve"> </t>
    </r>
    <phoneticPr fontId="1" type="noConversion"/>
  </si>
  <si>
    <t>BA Leader</t>
    <phoneticPr fontId="11" type="noConversion"/>
  </si>
  <si>
    <t>月份</t>
    <phoneticPr fontId="1" type="noConversion"/>
  </si>
  <si>
    <t>年份</t>
    <phoneticPr fontId="1" type="noConversion"/>
  </si>
  <si>
    <t>○</t>
    <phoneticPr fontId="1" type="noConversion"/>
  </si>
  <si>
    <t>X</t>
    <phoneticPr fontId="1" type="noConversion"/>
  </si>
  <si>
    <t>國定假日</t>
  </si>
  <si>
    <t>連假日期</t>
  </si>
  <si>
    <t>元旦假期</t>
  </si>
  <si>
    <t>除夕、春節假期</t>
  </si>
  <si>
    <t>2/8(四)～2/14(三)</t>
  </si>
  <si>
    <t>二二八紀念日</t>
  </si>
  <si>
    <t>2/28(三)</t>
  </si>
  <si>
    <t>清明、兒童節假期</t>
  </si>
  <si>
    <t>4/4(四)～4/7(日)</t>
  </si>
  <si>
    <t>五一勞動節</t>
  </si>
  <si>
    <t>5/1(三)</t>
  </si>
  <si>
    <t>端午節</t>
  </si>
  <si>
    <t>6/8(六)～6/10(一)</t>
  </si>
  <si>
    <t>中秋節</t>
  </si>
  <si>
    <t>9/17(二)</t>
  </si>
  <si>
    <t>國慶日</t>
  </si>
  <si>
    <t>10/10(四)</t>
  </si>
  <si>
    <r>
      <t>1</t>
    </r>
    <r>
      <rPr>
        <sz val="14"/>
        <color theme="1"/>
        <rFont val="微軟正黑體"/>
        <family val="2"/>
        <charset val="136"/>
      </rPr>
      <t>月</t>
    </r>
    <r>
      <rPr>
        <sz val="14"/>
        <color theme="1"/>
        <rFont val="Segoe UI"/>
        <family val="2"/>
      </rPr>
      <t>1</t>
    </r>
    <r>
      <rPr>
        <sz val="14"/>
        <color theme="1"/>
        <rFont val="微軟正黑體"/>
        <family val="2"/>
        <charset val="136"/>
      </rPr>
      <t>日（一）</t>
    </r>
    <phoneticPr fontId="1" type="noConversion"/>
  </si>
  <si>
    <t>W1</t>
    <phoneticPr fontId="1" type="noConversion"/>
  </si>
  <si>
    <t>W2</t>
    <phoneticPr fontId="1" type="noConversion"/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</si>
  <si>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</si>
  <si>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</si>
  <si>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</si>
  <si>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</si>
  <si>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</si>
  <si>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</si>
  <si>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</si>
  <si>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</si>
  <si>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</si>
  <si>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</si>
  <si>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</si>
  <si>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</si>
  <si>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Online維修(mins)</t>
    <phoneticPr fontId="1" type="noConversion"/>
  </si>
  <si>
    <t>Offline維修(mins)</t>
    <phoneticPr fontId="1" type="noConversion"/>
  </si>
  <si>
    <t>工作交接</t>
    <phoneticPr fontId="1" type="noConversion"/>
  </si>
  <si>
    <t>每週值班總人數</t>
    <phoneticPr fontId="1" type="noConversion"/>
  </si>
  <si>
    <t>維修L/B工作效率(%)</t>
    <phoneticPr fontId="1" type="noConversion"/>
  </si>
  <si>
    <t>ZK</t>
    <phoneticPr fontId="1" type="noConversion"/>
  </si>
  <si>
    <t>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</si>
</sst>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8" formatCode="d"/>
    <numFmt numFmtId="179" formatCode="m&quot;月&quot;d&quot;日&quot;"/>
    <numFmt numFmtId="180" formatCode="m/d;@"/>
    <numFmt numFmtId="181" formatCode="[$-404]aaaa;@"/>
  </numFmts>
  <fonts count="3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微軟正黑體"/>
      <family val="2"/>
      <charset val="136"/>
    </font>
    <font>
      <sz val="11"/>
      <name val="標楷體"/>
      <family val="4"/>
      <charset val="136"/>
    </font>
    <font>
      <b/>
      <sz val="10"/>
      <color indexed="62"/>
      <name val="Comic Sans MS"/>
      <family val="4"/>
    </font>
    <font>
      <sz val="12"/>
      <color rgb="FFFF0000"/>
      <name val="Calibri"/>
      <family val="2"/>
    </font>
    <font>
      <sz val="11"/>
      <color indexed="8"/>
      <name val="Calibri"/>
      <family val="2"/>
    </font>
    <font>
      <b/>
      <sz val="11"/>
      <color theme="1"/>
      <name val="微軟正黑體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theme="1"/>
      <name val="標楷體"/>
      <family val="4"/>
      <charset val="136"/>
    </font>
    <font>
      <sz val="11"/>
      <color indexed="12"/>
      <name val="Calibri"/>
      <family val="2"/>
    </font>
    <font>
      <sz val="10"/>
      <color theme="1"/>
      <name val="Calibri"/>
      <family val="2"/>
    </font>
    <font>
      <sz val="11"/>
      <color rgb="FF000000"/>
      <name val="細明體"/>
      <family val="2"/>
      <charset val="136"/>
    </font>
    <font>
      <sz val="11"/>
      <name val="細明體"/>
      <family val="3"/>
      <charset val="136"/>
    </font>
    <font>
      <sz val="12"/>
      <color rgb="FFFF0000"/>
      <name val="新細明體"/>
      <family val="2"/>
      <charset val="136"/>
    </font>
    <font>
      <sz val="11"/>
      <color rgb="FF000000"/>
      <name val="標楷體"/>
      <family val="4"/>
      <charset val="136"/>
    </font>
    <font>
      <sz val="11"/>
      <color theme="1"/>
      <name val="Segoe UI Symbol"/>
      <family val="2"/>
    </font>
    <font>
      <sz val="16"/>
      <name val="細明體"/>
      <family val="2"/>
      <charset val="136"/>
    </font>
    <font>
      <sz val="16"/>
      <name val="Calibri"/>
      <family val="2"/>
    </font>
    <font>
      <b/>
      <sz val="15"/>
      <color theme="1"/>
      <name val="Segoe UI"/>
      <family val="2"/>
    </font>
    <font>
      <sz val="14"/>
      <color theme="1"/>
      <name val="Segoe UI"/>
      <family val="2"/>
    </font>
    <font>
      <sz val="14"/>
      <color theme="1"/>
      <name val="微軟正黑體"/>
      <family val="2"/>
      <charset val="136"/>
    </font>
    <font>
      <sz val="14"/>
      <color indexed="81"/>
      <name val="微軟正黑體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0EBEC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/>
    <xf numFmtId="0" fontId="2" fillId="0" borderId="0"/>
    <xf numFmtId="0" fontId="7" fillId="0" borderId="0"/>
    <xf numFmtId="0" fontId="2" fillId="0" borderId="0"/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4" fillId="2" borderId="0" xfId="2" applyFont="1" applyFill="1" applyAlignment="1">
      <alignment horizontal="left" vertical="center"/>
    </xf>
    <xf numFmtId="0" fontId="6" fillId="0" borderId="0" xfId="1" applyFont="1"/>
    <xf numFmtId="0" fontId="6" fillId="2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8" fillId="0" borderId="1" xfId="3" applyFont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3" fillId="6" borderId="2" xfId="4" applyFont="1" applyFill="1" applyBorder="1" applyAlignment="1">
      <alignment horizontal="center" vertical="center" wrapText="1"/>
    </xf>
    <xf numFmtId="0" fontId="6" fillId="0" borderId="1" xfId="3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6" fillId="0" borderId="1" xfId="3" applyFont="1" applyBorder="1" applyAlignment="1">
      <alignment horizontal="center" vertical="center"/>
    </xf>
    <xf numFmtId="0" fontId="15" fillId="0" borderId="4" xfId="3" applyFont="1" applyBorder="1" applyAlignment="1">
      <alignment horizontal="left" vertical="center"/>
    </xf>
    <xf numFmtId="0" fontId="15" fillId="0" borderId="1" xfId="3" applyFont="1" applyBorder="1" applyAlignment="1">
      <alignment horizontal="left" vertical="center"/>
    </xf>
    <xf numFmtId="0" fontId="16" fillId="8" borderId="1" xfId="3" applyFont="1" applyFill="1" applyBorder="1" applyAlignment="1">
      <alignment horizontal="center" vertical="center"/>
    </xf>
    <xf numFmtId="0" fontId="15" fillId="0" borderId="1" xfId="1" applyFont="1" applyBorder="1" applyAlignment="1">
      <alignment horizontal="center" vertical="center" wrapText="1"/>
    </xf>
    <xf numFmtId="0" fontId="15" fillId="0" borderId="2" xfId="1" applyFont="1" applyBorder="1" applyAlignment="1">
      <alignment horizontal="center" vertical="center" wrapText="1"/>
    </xf>
    <xf numFmtId="0" fontId="18" fillId="0" borderId="1" xfId="3" applyFont="1" applyBorder="1" applyAlignment="1">
      <alignment horizontal="center" vertical="center"/>
    </xf>
    <xf numFmtId="0" fontId="15" fillId="0" borderId="0" xfId="1" applyFont="1" applyAlignment="1">
      <alignment vertical="center" wrapText="1"/>
    </xf>
    <xf numFmtId="0" fontId="6" fillId="0" borderId="0" xfId="3" applyFont="1" applyAlignment="1">
      <alignment horizontal="center" vertical="center"/>
    </xf>
    <xf numFmtId="0" fontId="18" fillId="0" borderId="0" xfId="3" applyFont="1" applyAlignment="1">
      <alignment vertical="center"/>
    </xf>
    <xf numFmtId="0" fontId="6" fillId="0" borderId="0" xfId="3" applyFont="1"/>
    <xf numFmtId="0" fontId="6" fillId="0" borderId="0" xfId="3" applyFont="1" applyAlignment="1">
      <alignment horizontal="left" vertical="center" wrapText="1"/>
    </xf>
    <xf numFmtId="14" fontId="9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0" borderId="0" xfId="3" applyFont="1"/>
    <xf numFmtId="0" fontId="21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0" borderId="0" xfId="3" applyFont="1" applyAlignment="1">
      <alignment horizontal="left" vertical="center" wrapText="1"/>
    </xf>
    <xf numFmtId="0" fontId="9" fillId="0" borderId="0" xfId="1" applyFont="1" applyAlignment="1">
      <alignment horizontal="center" vertical="center"/>
    </xf>
    <xf numFmtId="14" fontId="9" fillId="0" borderId="0" xfId="1" applyNumberFormat="1" applyFont="1" applyAlignment="1">
      <alignment horizontal="center" vertical="center"/>
    </xf>
    <xf numFmtId="0" fontId="15" fillId="0" borderId="0" xfId="5" applyFont="1">
      <alignment vertical="center"/>
    </xf>
    <xf numFmtId="0" fontId="15" fillId="0" borderId="0" xfId="5" applyFont="1" applyAlignment="1">
      <alignment horizontal="center" vertical="center"/>
    </xf>
    <xf numFmtId="14" fontId="16" fillId="0" borderId="0" xfId="5" applyNumberFormat="1" applyFont="1" applyAlignment="1">
      <alignment horizontal="center" vertical="center"/>
    </xf>
    <xf numFmtId="0" fontId="16" fillId="0" borderId="0" xfId="5" applyFont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16" fillId="6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0" fontId="2" fillId="0" borderId="0" xfId="1"/>
    <xf numFmtId="14" fontId="9" fillId="0" borderId="0" xfId="1" applyNumberFormat="1" applyFont="1"/>
    <xf numFmtId="0" fontId="9" fillId="0" borderId="0" xfId="1" applyFont="1"/>
    <xf numFmtId="0" fontId="15" fillId="0" borderId="1" xfId="3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180" fontId="19" fillId="0" borderId="1" xfId="1" applyNumberFormat="1" applyFont="1" applyFill="1" applyBorder="1" applyAlignment="1">
      <alignment horizontal="center" vertical="center"/>
    </xf>
    <xf numFmtId="0" fontId="6" fillId="0" borderId="3" xfId="1" applyFont="1" applyFill="1" applyBorder="1" applyAlignment="1">
      <alignment horizontal="center" vertical="center"/>
    </xf>
    <xf numFmtId="0" fontId="15" fillId="0" borderId="0" xfId="1" applyFont="1" applyFill="1" applyAlignment="1">
      <alignment vertical="center" wrapText="1"/>
    </xf>
    <xf numFmtId="0" fontId="15" fillId="0" borderId="4" xfId="3" applyFont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3" borderId="1" xfId="3" applyFont="1" applyFill="1" applyBorder="1" applyAlignment="1">
      <alignment horizontal="center" vertical="center"/>
    </xf>
    <xf numFmtId="0" fontId="6" fillId="0" borderId="1" xfId="1" applyFont="1" applyBorder="1"/>
    <xf numFmtId="0" fontId="8" fillId="0" borderId="1" xfId="1" applyFont="1" applyBorder="1" applyAlignment="1">
      <alignment horizontal="center" vertical="center"/>
    </xf>
    <xf numFmtId="0" fontId="23" fillId="0" borderId="1" xfId="3" applyFont="1" applyBorder="1" applyAlignment="1">
      <alignment horizontal="center" vertical="center"/>
    </xf>
    <xf numFmtId="178" fontId="6" fillId="5" borderId="1" xfId="3" applyNumberFormat="1" applyFont="1" applyFill="1" applyBorder="1" applyAlignment="1">
      <alignment horizontal="center" vertical="center"/>
    </xf>
    <xf numFmtId="181" fontId="9" fillId="4" borderId="1" xfId="3" applyNumberFormat="1" applyFont="1" applyFill="1" applyBorder="1" applyAlignment="1">
      <alignment horizontal="center" vertical="center"/>
    </xf>
    <xf numFmtId="0" fontId="10" fillId="2" borderId="1" xfId="3" applyFont="1" applyFill="1" applyBorder="1" applyAlignment="1">
      <alignment horizontal="center" vertical="center"/>
    </xf>
    <xf numFmtId="0" fontId="6" fillId="3" borderId="1" xfId="3" applyFont="1" applyFill="1" applyBorder="1" applyAlignment="1">
      <alignment horizontal="center" vertical="center"/>
    </xf>
    <xf numFmtId="0" fontId="16" fillId="0" borderId="1" xfId="3" applyFont="1" applyFill="1" applyBorder="1" applyAlignment="1">
      <alignment horizontal="center" vertical="center"/>
    </xf>
    <xf numFmtId="0" fontId="15" fillId="2" borderId="1" xfId="3" applyFont="1" applyFill="1" applyBorder="1" applyAlignment="1">
      <alignment horizontal="center" vertical="center"/>
    </xf>
    <xf numFmtId="0" fontId="24" fillId="2" borderId="1" xfId="3" applyFont="1" applyFill="1" applyBorder="1" applyAlignment="1">
      <alignment horizontal="center" vertical="center"/>
    </xf>
    <xf numFmtId="0" fontId="25" fillId="0" borderId="0" xfId="1" applyFont="1" applyAlignment="1">
      <alignment horizontal="right"/>
    </xf>
    <xf numFmtId="0" fontId="26" fillId="0" borderId="0" xfId="1" applyFont="1" applyAlignment="1">
      <alignment horizontal="center"/>
    </xf>
    <xf numFmtId="0" fontId="25" fillId="0" borderId="0" xfId="1" applyFont="1" applyAlignment="1">
      <alignment horizontal="right" vertical="center"/>
    </xf>
    <xf numFmtId="0" fontId="26" fillId="0" borderId="0" xfId="1" applyFont="1" applyAlignment="1">
      <alignment horizontal="center" vertical="center"/>
    </xf>
    <xf numFmtId="0" fontId="27" fillId="11" borderId="0" xfId="0" applyFont="1" applyFill="1" applyAlignment="1">
      <alignment horizontal="center" vertical="center"/>
    </xf>
    <xf numFmtId="0" fontId="28" fillId="11" borderId="0" xfId="0" applyFont="1" applyFill="1" applyAlignment="1">
      <alignment vertical="center" wrapText="1"/>
    </xf>
    <xf numFmtId="0" fontId="28" fillId="10" borderId="0" xfId="0" applyFont="1" applyFill="1" applyAlignment="1">
      <alignment vertical="center" wrapText="1"/>
    </xf>
    <xf numFmtId="0" fontId="6" fillId="9" borderId="2" xfId="1" applyFont="1" applyFill="1" applyBorder="1" applyAlignment="1">
      <alignment horizontal="center"/>
    </xf>
    <xf numFmtId="0" fontId="6" fillId="9" borderId="5" xfId="1" applyFont="1" applyFill="1" applyBorder="1" applyAlignment="1">
      <alignment horizontal="center"/>
    </xf>
    <xf numFmtId="0" fontId="6" fillId="9" borderId="3" xfId="1" applyFont="1" applyFill="1" applyBorder="1" applyAlignment="1">
      <alignment horizontal="center"/>
    </xf>
    <xf numFmtId="0" fontId="8" fillId="3" borderId="1" xfId="3" applyFont="1" applyFill="1" applyBorder="1" applyAlignment="1">
      <alignment horizontal="center" vertical="center"/>
    </xf>
    <xf numFmtId="179" fontId="12" fillId="2" borderId="1" xfId="1" applyNumberFormat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0" fillId="1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9" fontId="0" fillId="0" borderId="1" xfId="6" applyFont="1" applyBorder="1" applyAlignment="1">
      <alignment horizontal="center" vertical="center"/>
    </xf>
  </cellXfs>
  <cellStyles count="7">
    <cellStyle name="??&amp;_x0012_?&amp;_x000b_?_x0008_*_x0007_?_x0007__x0001__x0001_" xfId="3" xr:uid="{00000000-0005-0000-0000-000000000000}"/>
    <cellStyle name="一般" xfId="0" builtinId="0"/>
    <cellStyle name="一般 2" xfId="1" xr:uid="{00000000-0005-0000-0000-000002000000}"/>
    <cellStyle name="一般 3" xfId="5" xr:uid="{00000000-0005-0000-0000-000003000000}"/>
    <cellStyle name="一般_2008 HS常日班行事曆1" xfId="2" xr:uid="{00000000-0005-0000-0000-000004000000}"/>
    <cellStyle name="一般_5BC61830" xfId="4" xr:uid="{00000000-0005-0000-0000-000005000000}"/>
    <cellStyle name="百分比" xfId="6" builtinId="5"/>
  </cellStyles>
  <dxfs count="1">
    <dxf>
      <font>
        <b/>
        <i val="0"/>
        <color rgb="FFFF4343"/>
      </font>
    </dxf>
  </dxfs>
  <tableStyles count="0" defaultTableStyle="TableStyleMedium2" defaultPivotStyle="PivotStyleLight16"/>
  <colors>
    <mruColors>
      <color rgb="FFFF4343"/>
      <color rgb="FF00CCFF"/>
      <color rgb="FFFFCCCC"/>
      <color rgb="FF00FF00"/>
      <color rgb="FF00FFCC"/>
      <color rgb="FF33CCCC"/>
      <color rgb="FFCCFFCC"/>
      <color rgb="FFFF66FF"/>
      <color rgb="FFFF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D$1" max="2035" min="2024" page="10" val="2024"/>
</file>

<file path=xl/ctrlProps/ctrlProp2.xml><?xml version="1.0" encoding="utf-8"?>
<formControlPr xmlns="http://schemas.microsoft.com/office/spreadsheetml/2009/9/main" objectType="Spin" dx="22" fmlaLink="$G$1" max="12" min="1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0</xdr:row>
          <xdr:rowOff>28575</xdr:rowOff>
        </xdr:from>
        <xdr:to>
          <xdr:col>4</xdr:col>
          <xdr:colOff>390525</xdr:colOff>
          <xdr:row>1</xdr:row>
          <xdr:rowOff>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28575</xdr:rowOff>
        </xdr:from>
        <xdr:to>
          <xdr:col>8</xdr:col>
          <xdr:colOff>28575</xdr:colOff>
          <xdr:row>1</xdr:row>
          <xdr:rowOff>0</xdr:rowOff>
        </xdr:to>
        <xdr:sp macro="" textlink="">
          <xdr:nvSpPr>
            <xdr:cNvPr id="18434" name="Spinner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A4AB-E957-4748-BAFA-0050D41A9890}">
  <dimension ref="B2:P19"/>
  <sheetViews>
    <sheetView tabSelected="1" workbookViewId="0">
      <selection activeCell="P26" sqref="P26"/>
    </sheetView>
  </sheetViews>
  <sheetFormatPr defaultRowHeight="16.5"/>
  <cols>
    <col min="2" max="2" width="22.125" customWidth="1"/>
  </cols>
  <sheetData>
    <row r="2" spans="2:16">
      <c r="B2" s="72" t="s">
        <v>16</v>
      </c>
      <c r="C2" s="72" t="s">
        <v>44</v>
      </c>
      <c r="D2" s="72" t="s">
        <v>45</v>
      </c>
      <c r="E2" s="72" t="s">
        <v>46</v>
      </c>
      <c r="F2" s="72" t="s">
        <v>47</v>
      </c>
      <c r="G2" s="72" t="s">
        <v>48</v>
      </c>
      <c r="H2" s="72" t="s">
        <v>49</v>
      </c>
      <c r="I2" s="72" t="s">
        <v>50</v>
      </c>
      <c r="J2" s="72" t="s">
        <v>51</v>
      </c>
      <c r="K2" s="72" t="s">
        <v>52</v>
      </c>
      <c r="L2" s="72" t="s">
        <v>53</v>
      </c>
      <c r="M2" s="72" t="s">
        <v>54</v>
      </c>
      <c r="N2" s="72" t="s">
        <v>55</v>
      </c>
      <c r="O2" s="72" t="s">
        <v>56</v>
      </c>
      <c r="P2" s="72" t="s">
        <v>57</v>
      </c>
    </row>
    <row r="3" spans="2:16">
      <c r="B3" s="73" t="s">
        <v>58</v>
      </c>
      <c r="C3" s="74">
        <v>347</v>
      </c>
      <c r="D3" s="74">
        <v>653</v>
      </c>
      <c r="E3" s="74">
        <v>749</v>
      </c>
      <c r="F3" s="74">
        <v>447</v>
      </c>
      <c r="G3" s="74">
        <v>569</v>
      </c>
      <c r="H3" s="74">
        <v>2660</v>
      </c>
      <c r="I3" s="74">
        <v>540</v>
      </c>
      <c r="J3" s="74">
        <v>765</v>
      </c>
      <c r="K3" s="74">
        <v>1695</v>
      </c>
      <c r="L3" s="74"/>
      <c r="M3" s="74"/>
      <c r="N3" s="74"/>
      <c r="O3" s="74"/>
      <c r="P3" s="74"/>
    </row>
    <row r="4" spans="2:16">
      <c r="B4" s="73" t="s">
        <v>59</v>
      </c>
      <c r="C4" s="74">
        <v>239</v>
      </c>
      <c r="D4" s="74">
        <v>159</v>
      </c>
      <c r="E4" s="74">
        <v>210</v>
      </c>
      <c r="F4" s="74">
        <v>190</v>
      </c>
      <c r="G4" s="74">
        <v>460</v>
      </c>
      <c r="H4" s="74">
        <v>450</v>
      </c>
      <c r="I4" s="74">
        <v>60</v>
      </c>
      <c r="J4" s="74">
        <v>615</v>
      </c>
      <c r="K4" s="74">
        <v>170</v>
      </c>
      <c r="L4" s="74"/>
      <c r="M4" s="74"/>
      <c r="N4" s="74"/>
      <c r="O4" s="74"/>
      <c r="P4" s="74"/>
    </row>
    <row r="5" spans="2:16">
      <c r="B5" s="73" t="s">
        <v>60</v>
      </c>
      <c r="C5" s="74">
        <v>60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2:16">
      <c r="B6" s="73" t="s">
        <v>61</v>
      </c>
      <c r="C6" s="75">
        <v>17</v>
      </c>
      <c r="D6" s="75">
        <v>17</v>
      </c>
      <c r="E6" s="75">
        <v>18</v>
      </c>
      <c r="F6" s="75">
        <v>18</v>
      </c>
      <c r="G6" s="75">
        <v>17</v>
      </c>
      <c r="H6" s="75">
        <v>17</v>
      </c>
      <c r="I6" s="75">
        <v>18</v>
      </c>
      <c r="J6" s="75">
        <v>18</v>
      </c>
      <c r="K6" s="75">
        <v>17</v>
      </c>
      <c r="L6" s="74"/>
      <c r="M6" s="74"/>
      <c r="N6" s="74"/>
      <c r="O6" s="74"/>
      <c r="P6" s="74"/>
    </row>
    <row r="7" spans="2:16">
      <c r="B7" s="73" t="s">
        <v>62</v>
      </c>
      <c r="C7" s="76">
        <f>(C3+C4)/(600*C6)</f>
        <v>5.7450980392156861E-2</v>
      </c>
      <c r="D7" s="76">
        <f>(D3+D4)/(600*D6)</f>
        <v>7.9607843137254899E-2</v>
      </c>
      <c r="E7" s="76">
        <f>(E3+E4)/(600*E6)</f>
        <v>8.879629629629629E-2</v>
      </c>
      <c r="F7" s="76">
        <f>(F3+F4)/(600*F6)</f>
        <v>5.8981481481481482E-2</v>
      </c>
      <c r="G7" s="76">
        <f>(G3+G4)/(600*G6)</f>
        <v>0.10088235294117646</v>
      </c>
      <c r="H7" s="76">
        <f>(H3+H4)/(600*H6)</f>
        <v>0.30490196078431375</v>
      </c>
      <c r="I7" s="76">
        <f>(I3+I4)/(600*I6)</f>
        <v>5.5555555555555552E-2</v>
      </c>
      <c r="J7" s="76">
        <f>(J3+J4)/(600*J6)</f>
        <v>0.12777777777777777</v>
      </c>
      <c r="K7" s="76">
        <f>(K3+K4)/(600*K6)</f>
        <v>0.18284313725490195</v>
      </c>
      <c r="L7" s="74"/>
      <c r="M7" s="74"/>
      <c r="N7" s="74"/>
      <c r="O7" s="74"/>
      <c r="P7" s="74"/>
    </row>
    <row r="9" spans="2:16">
      <c r="B9" s="72" t="s">
        <v>63</v>
      </c>
      <c r="C9" s="72" t="s">
        <v>44</v>
      </c>
      <c r="D9" s="72" t="s">
        <v>45</v>
      </c>
      <c r="E9" s="72" t="s">
        <v>46</v>
      </c>
      <c r="F9" s="72" t="s">
        <v>47</v>
      </c>
      <c r="G9" s="72" t="s">
        <v>48</v>
      </c>
      <c r="H9" s="72" t="s">
        <v>49</v>
      </c>
      <c r="I9" s="72" t="s">
        <v>50</v>
      </c>
      <c r="J9" s="72" t="s">
        <v>51</v>
      </c>
      <c r="K9" s="72" t="s">
        <v>52</v>
      </c>
      <c r="L9" s="72" t="s">
        <v>53</v>
      </c>
      <c r="M9" s="72" t="s">
        <v>54</v>
      </c>
      <c r="N9" s="72" t="s">
        <v>55</v>
      </c>
      <c r="O9" s="72" t="s">
        <v>56</v>
      </c>
      <c r="P9" s="72" t="s">
        <v>57</v>
      </c>
    </row>
    <row r="10" spans="2:16">
      <c r="B10" s="73" t="s">
        <v>58</v>
      </c>
      <c r="C10" s="74">
        <v>2542</v>
      </c>
      <c r="D10" s="74">
        <v>3314</v>
      </c>
      <c r="E10" s="74">
        <v>1406</v>
      </c>
      <c r="F10" s="74">
        <v>2251</v>
      </c>
      <c r="G10" s="74">
        <v>2542</v>
      </c>
      <c r="H10" s="74">
        <v>2258</v>
      </c>
      <c r="I10" s="74">
        <v>2395</v>
      </c>
      <c r="J10" s="74">
        <v>2801</v>
      </c>
      <c r="K10" s="74">
        <v>2828</v>
      </c>
      <c r="L10" s="74"/>
      <c r="M10" s="74"/>
      <c r="N10" s="74"/>
      <c r="O10" s="74"/>
      <c r="P10" s="74"/>
    </row>
    <row r="11" spans="2:16">
      <c r="B11" s="73" t="s">
        <v>59</v>
      </c>
      <c r="C11" s="74">
        <v>870</v>
      </c>
      <c r="D11" s="74">
        <v>1065</v>
      </c>
      <c r="E11" s="74">
        <v>1080</v>
      </c>
      <c r="F11" s="74">
        <v>507</v>
      </c>
      <c r="G11" s="74">
        <v>1058</v>
      </c>
      <c r="H11" s="74">
        <v>1137</v>
      </c>
      <c r="I11" s="74">
        <v>1098</v>
      </c>
      <c r="J11" s="74">
        <v>1617</v>
      </c>
      <c r="K11" s="74">
        <v>750</v>
      </c>
      <c r="L11" s="74"/>
      <c r="M11" s="74"/>
      <c r="N11" s="74"/>
      <c r="O11" s="74"/>
      <c r="P11" s="74"/>
    </row>
    <row r="12" spans="2:16">
      <c r="B12" s="73" t="s">
        <v>61</v>
      </c>
      <c r="C12" s="74">
        <v>24</v>
      </c>
      <c r="D12" s="74">
        <v>24</v>
      </c>
      <c r="E12" s="74">
        <v>25</v>
      </c>
      <c r="F12" s="74">
        <v>25</v>
      </c>
      <c r="G12" s="74">
        <v>24</v>
      </c>
      <c r="H12" s="74">
        <v>24</v>
      </c>
      <c r="I12" s="74">
        <v>25</v>
      </c>
      <c r="J12" s="74">
        <v>25</v>
      </c>
      <c r="K12" s="74">
        <v>24</v>
      </c>
      <c r="L12" s="74"/>
      <c r="M12" s="74"/>
      <c r="N12" s="74"/>
      <c r="O12" s="74"/>
      <c r="P12" s="74"/>
    </row>
    <row r="13" spans="2:16">
      <c r="B13" s="73" t="s">
        <v>62</v>
      </c>
      <c r="C13" s="76">
        <f t="shared" ref="C13:K13" si="0">(C10+C11)/(600*C12)</f>
        <v>0.23694444444444446</v>
      </c>
      <c r="D13" s="76">
        <f t="shared" si="0"/>
        <v>0.30409722222222224</v>
      </c>
      <c r="E13" s="76">
        <f t="shared" si="0"/>
        <v>0.16573333333333334</v>
      </c>
      <c r="F13" s="76">
        <f t="shared" si="0"/>
        <v>0.18386666666666668</v>
      </c>
      <c r="G13" s="76">
        <f t="shared" si="0"/>
        <v>0.25</v>
      </c>
      <c r="H13" s="76">
        <f t="shared" si="0"/>
        <v>0.23576388888888888</v>
      </c>
      <c r="I13" s="76">
        <f t="shared" si="0"/>
        <v>0.23286666666666667</v>
      </c>
      <c r="J13" s="76">
        <f t="shared" si="0"/>
        <v>0.29453333333333331</v>
      </c>
      <c r="K13" s="76">
        <f t="shared" si="0"/>
        <v>0.24847222222222223</v>
      </c>
      <c r="L13" s="74"/>
      <c r="M13" s="74"/>
      <c r="N13" s="74"/>
      <c r="O13" s="74"/>
      <c r="P13" s="74"/>
    </row>
    <row r="15" spans="2:16">
      <c r="B15" s="72" t="s">
        <v>64</v>
      </c>
      <c r="C15" s="72" t="s">
        <v>44</v>
      </c>
      <c r="D15" s="72" t="s">
        <v>45</v>
      </c>
      <c r="E15" s="72" t="s">
        <v>46</v>
      </c>
      <c r="F15" s="72" t="s">
        <v>47</v>
      </c>
      <c r="G15" s="72" t="s">
        <v>48</v>
      </c>
      <c r="H15" s="72" t="s">
        <v>49</v>
      </c>
      <c r="I15" s="72" t="s">
        <v>50</v>
      </c>
      <c r="J15" s="72" t="s">
        <v>51</v>
      </c>
      <c r="K15" s="72" t="s">
        <v>52</v>
      </c>
      <c r="L15" s="72" t="s">
        <v>53</v>
      </c>
      <c r="M15" s="72" t="s">
        <v>54</v>
      </c>
      <c r="N15" s="72" t="s">
        <v>55</v>
      </c>
      <c r="O15" s="72" t="s">
        <v>56</v>
      </c>
      <c r="P15" s="72" t="s">
        <v>57</v>
      </c>
    </row>
    <row r="16" spans="2:16">
      <c r="B16" s="73" t="s">
        <v>58</v>
      </c>
      <c r="C16" s="74">
        <v>739</v>
      </c>
      <c r="D16" s="74">
        <v>540</v>
      </c>
      <c r="E16" s="74">
        <v>1954</v>
      </c>
      <c r="F16" s="74">
        <v>806</v>
      </c>
      <c r="G16" s="74">
        <v>1010</v>
      </c>
      <c r="H16" s="74">
        <v>1243</v>
      </c>
      <c r="I16" s="74">
        <v>471</v>
      </c>
      <c r="J16" s="74">
        <v>1057</v>
      </c>
      <c r="K16" s="74">
        <v>998</v>
      </c>
      <c r="L16" s="74"/>
      <c r="M16" s="74"/>
      <c r="N16" s="74"/>
      <c r="O16" s="74"/>
      <c r="P16" s="74"/>
    </row>
    <row r="17" spans="2:16">
      <c r="B17" s="73" t="s">
        <v>59</v>
      </c>
      <c r="C17" s="74">
        <v>101</v>
      </c>
      <c r="D17" s="74">
        <v>55</v>
      </c>
      <c r="E17" s="74">
        <v>275</v>
      </c>
      <c r="F17" s="74">
        <v>210</v>
      </c>
      <c r="G17" s="74">
        <v>229</v>
      </c>
      <c r="H17" s="74">
        <v>55</v>
      </c>
      <c r="I17" s="74">
        <v>307</v>
      </c>
      <c r="J17" s="74">
        <v>1119</v>
      </c>
      <c r="K17" s="74">
        <v>30</v>
      </c>
      <c r="L17" s="74"/>
      <c r="M17" s="74"/>
      <c r="N17" s="74"/>
      <c r="O17" s="74"/>
      <c r="P17" s="74"/>
    </row>
    <row r="18" spans="2:16">
      <c r="B18" s="73" t="s">
        <v>61</v>
      </c>
      <c r="C18" s="74">
        <v>14</v>
      </c>
      <c r="D18" s="74">
        <v>14</v>
      </c>
      <c r="E18" s="74">
        <v>14</v>
      </c>
      <c r="F18" s="74">
        <v>14</v>
      </c>
      <c r="G18" s="74">
        <v>14</v>
      </c>
      <c r="H18" s="74">
        <v>14</v>
      </c>
      <c r="I18" s="74">
        <v>14</v>
      </c>
      <c r="J18" s="74">
        <v>14</v>
      </c>
      <c r="K18" s="74">
        <v>14</v>
      </c>
      <c r="L18" s="74"/>
      <c r="M18" s="74"/>
      <c r="N18" s="74"/>
      <c r="O18" s="74"/>
      <c r="P18" s="74"/>
    </row>
    <row r="19" spans="2:16">
      <c r="B19" s="73" t="s">
        <v>62</v>
      </c>
      <c r="C19" s="76">
        <f>(C16+C17)/(600*C18)</f>
        <v>0.1</v>
      </c>
      <c r="D19" s="76">
        <f t="shared" ref="D19:K19" si="1">(D16+D17)/(600*D18)</f>
        <v>7.0833333333333331E-2</v>
      </c>
      <c r="E19" s="76">
        <f t="shared" si="1"/>
        <v>0.26535714285714285</v>
      </c>
      <c r="F19" s="76">
        <f t="shared" si="1"/>
        <v>0.12095238095238095</v>
      </c>
      <c r="G19" s="76">
        <f t="shared" si="1"/>
        <v>0.14749999999999999</v>
      </c>
      <c r="H19" s="76">
        <f t="shared" si="1"/>
        <v>0.15452380952380954</v>
      </c>
      <c r="I19" s="76">
        <f t="shared" si="1"/>
        <v>9.2619047619047615E-2</v>
      </c>
      <c r="J19" s="76">
        <f t="shared" si="1"/>
        <v>0.25904761904761903</v>
      </c>
      <c r="K19" s="76">
        <f t="shared" si="1"/>
        <v>0.12238095238095238</v>
      </c>
      <c r="L19" s="74"/>
      <c r="M19" s="74"/>
      <c r="N19" s="74"/>
      <c r="O19" s="74"/>
      <c r="P19" s="74"/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B1:AR29"/>
  <sheetViews>
    <sheetView zoomScale="86" zoomScaleNormal="86" workbookViewId="0">
      <pane ySplit="4" topLeftCell="A5" activePane="bottomLeft" state="frozen"/>
      <selection pane="bottomLeft" activeCell="O33" sqref="O33"/>
    </sheetView>
  </sheetViews>
  <sheetFormatPr defaultRowHeight="15"/>
  <cols>
    <col min="1" max="2" width="4.625" style="2" customWidth="1"/>
    <col min="3" max="3" width="11.375" style="2" customWidth="1"/>
    <col min="4" max="4" width="8.5" style="2" bestFit="1" customWidth="1"/>
    <col min="5" max="5" width="7.5" style="2" bestFit="1" customWidth="1"/>
    <col min="6" max="6" width="16" style="2" customWidth="1"/>
    <col min="7" max="7" width="5.75" style="39" customWidth="1"/>
    <col min="8" max="8" width="5.375" style="39" customWidth="1"/>
    <col min="9" max="37" width="5.125" style="40" customWidth="1"/>
    <col min="38" max="38" width="6.875" style="2" bestFit="1" customWidth="1"/>
    <col min="39" max="39" width="6" style="2" customWidth="1"/>
    <col min="40" max="40" width="5.625" style="2" customWidth="1"/>
    <col min="41" max="41" width="28.125" style="2" customWidth="1"/>
    <col min="42" max="16384" width="9" style="2"/>
  </cols>
  <sheetData>
    <row r="1" spans="2:44" ht="23.25" customHeight="1">
      <c r="C1" s="59" t="s">
        <v>23</v>
      </c>
      <c r="D1" s="60">
        <v>2024</v>
      </c>
      <c r="F1" s="61" t="s">
        <v>22</v>
      </c>
      <c r="G1" s="62">
        <v>3</v>
      </c>
    </row>
    <row r="2" spans="2:44" ht="18" customHeight="1"/>
    <row r="3" spans="2:44" ht="31.5">
      <c r="B3" s="49"/>
      <c r="C3" s="47"/>
      <c r="D3" s="69"/>
      <c r="E3" s="69"/>
      <c r="F3" s="69"/>
      <c r="G3" s="53" t="str">
        <f t="shared" ref="G3:AH3" si="0">CHOOSE(WEEKDAY(DATE($D$1,$G$1,G$4),2),"一","二","三","四","五","六","日")</f>
        <v>五</v>
      </c>
      <c r="H3" s="53" t="str">
        <f t="shared" si="0"/>
        <v>六</v>
      </c>
      <c r="I3" s="53" t="str">
        <f t="shared" si="0"/>
        <v>日</v>
      </c>
      <c r="J3" s="53" t="str">
        <f t="shared" si="0"/>
        <v>一</v>
      </c>
      <c r="K3" s="53" t="str">
        <f t="shared" si="0"/>
        <v>二</v>
      </c>
      <c r="L3" s="53" t="str">
        <f t="shared" si="0"/>
        <v>三</v>
      </c>
      <c r="M3" s="53" t="str">
        <f t="shared" si="0"/>
        <v>四</v>
      </c>
      <c r="N3" s="53" t="str">
        <f t="shared" si="0"/>
        <v>五</v>
      </c>
      <c r="O3" s="53" t="str">
        <f t="shared" si="0"/>
        <v>六</v>
      </c>
      <c r="P3" s="53" t="str">
        <f t="shared" si="0"/>
        <v>日</v>
      </c>
      <c r="Q3" s="53" t="str">
        <f t="shared" si="0"/>
        <v>一</v>
      </c>
      <c r="R3" s="53" t="str">
        <f t="shared" si="0"/>
        <v>二</v>
      </c>
      <c r="S3" s="53" t="str">
        <f t="shared" si="0"/>
        <v>三</v>
      </c>
      <c r="T3" s="53" t="str">
        <f t="shared" si="0"/>
        <v>四</v>
      </c>
      <c r="U3" s="53" t="str">
        <f t="shared" si="0"/>
        <v>五</v>
      </c>
      <c r="V3" s="53" t="str">
        <f t="shared" si="0"/>
        <v>六</v>
      </c>
      <c r="W3" s="53" t="str">
        <f t="shared" si="0"/>
        <v>日</v>
      </c>
      <c r="X3" s="53" t="str">
        <f t="shared" si="0"/>
        <v>一</v>
      </c>
      <c r="Y3" s="53" t="str">
        <f t="shared" si="0"/>
        <v>二</v>
      </c>
      <c r="Z3" s="53" t="str">
        <f t="shared" si="0"/>
        <v>三</v>
      </c>
      <c r="AA3" s="53" t="str">
        <f t="shared" si="0"/>
        <v>四</v>
      </c>
      <c r="AB3" s="53" t="str">
        <f t="shared" si="0"/>
        <v>五</v>
      </c>
      <c r="AC3" s="53" t="str">
        <f t="shared" si="0"/>
        <v>六</v>
      </c>
      <c r="AD3" s="53" t="str">
        <f t="shared" si="0"/>
        <v>日</v>
      </c>
      <c r="AE3" s="53" t="str">
        <f t="shared" si="0"/>
        <v>一</v>
      </c>
      <c r="AF3" s="53" t="str">
        <f t="shared" si="0"/>
        <v>二</v>
      </c>
      <c r="AG3" s="53" t="str">
        <f t="shared" si="0"/>
        <v>三</v>
      </c>
      <c r="AH3" s="53" t="str">
        <f t="shared" si="0"/>
        <v>四</v>
      </c>
      <c r="AI3" s="53" t="str">
        <f>IF(AI$4="","",CHOOSE(WEEKDAY(DATE($D$1,$G$1,AI$4),2),"一","二","三","四","五","六","日"))</f>
        <v>五</v>
      </c>
      <c r="AJ3" s="53" t="str">
        <f>IF(AJ$4="","",CHOOSE(WEEKDAY(DATE($D$1,$G$1,AJ$4),2),"一","二","三","四","五","六","日"))</f>
        <v>六</v>
      </c>
      <c r="AK3" s="53" t="str">
        <f>IF(AK$4="","",CHOOSE(WEEKDAY(DATE($D$1,$G$1,AK$4),2),"一","二","三","四","五","六","日"))</f>
        <v>日</v>
      </c>
      <c r="AL3" s="4" t="s">
        <v>0</v>
      </c>
      <c r="AM3" s="4" t="s">
        <v>1</v>
      </c>
      <c r="AN3" s="4" t="s">
        <v>2</v>
      </c>
      <c r="AO3" s="70" t="s">
        <v>12</v>
      </c>
    </row>
    <row r="4" spans="2:44" ht="15.75">
      <c r="B4" s="54" t="s">
        <v>14</v>
      </c>
      <c r="C4" s="54" t="s">
        <v>15</v>
      </c>
      <c r="D4" s="55" t="s">
        <v>3</v>
      </c>
      <c r="E4" s="55" t="s">
        <v>4</v>
      </c>
      <c r="F4" s="48" t="s">
        <v>5</v>
      </c>
      <c r="G4" s="52" cm="1">
        <f t="array" ref="G4:AK4">_xlfn.SEQUENCE(1,DAY(DATE(D1,G1+1,0)))</f>
        <v>1</v>
      </c>
      <c r="H4" s="52">
        <v>2</v>
      </c>
      <c r="I4" s="52">
        <v>3</v>
      </c>
      <c r="J4" s="52">
        <v>4</v>
      </c>
      <c r="K4" s="52">
        <v>5</v>
      </c>
      <c r="L4" s="52">
        <v>6</v>
      </c>
      <c r="M4" s="52">
        <v>7</v>
      </c>
      <c r="N4" s="52">
        <v>8</v>
      </c>
      <c r="O4" s="52">
        <v>9</v>
      </c>
      <c r="P4" s="52">
        <v>10</v>
      </c>
      <c r="Q4" s="52">
        <v>11</v>
      </c>
      <c r="R4" s="52">
        <v>12</v>
      </c>
      <c r="S4" s="52">
        <v>13</v>
      </c>
      <c r="T4" s="52">
        <v>14</v>
      </c>
      <c r="U4" s="52">
        <v>15</v>
      </c>
      <c r="V4" s="52">
        <v>16</v>
      </c>
      <c r="W4" s="52">
        <v>17</v>
      </c>
      <c r="X4" s="52">
        <v>18</v>
      </c>
      <c r="Y4" s="52">
        <v>19</v>
      </c>
      <c r="Z4" s="52">
        <v>20</v>
      </c>
      <c r="AA4" s="52">
        <v>21</v>
      </c>
      <c r="AB4" s="52">
        <v>22</v>
      </c>
      <c r="AC4" s="52">
        <v>23</v>
      </c>
      <c r="AD4" s="52">
        <v>24</v>
      </c>
      <c r="AE4" s="52">
        <v>25</v>
      </c>
      <c r="AF4" s="52">
        <v>26</v>
      </c>
      <c r="AG4" s="52">
        <v>27</v>
      </c>
      <c r="AH4" s="52">
        <v>28</v>
      </c>
      <c r="AI4" s="52">
        <v>29</v>
      </c>
      <c r="AJ4" s="52">
        <v>30</v>
      </c>
      <c r="AK4" s="52">
        <v>31</v>
      </c>
      <c r="AL4" s="5"/>
      <c r="AM4" s="5"/>
      <c r="AN4" s="5"/>
      <c r="AO4" s="71"/>
    </row>
    <row r="5" spans="2:44" ht="16.5">
      <c r="B5" s="50" t="s">
        <v>16</v>
      </c>
      <c r="C5" s="6" t="s">
        <v>6</v>
      </c>
      <c r="D5" s="3">
        <v>967245</v>
      </c>
      <c r="E5" s="7" t="s">
        <v>17</v>
      </c>
      <c r="F5" s="8" t="s">
        <v>6</v>
      </c>
      <c r="G5" s="58" t="s">
        <v>24</v>
      </c>
      <c r="H5" s="57" t="s">
        <v>25</v>
      </c>
      <c r="I5" s="57" t="s">
        <v>25</v>
      </c>
      <c r="J5" s="58" t="s">
        <v>24</v>
      </c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9">
        <f t="shared" ref="AL5:AL15" si="1">COUNTIF(G5:AK5,"○")+COUNTIF(G5:AK5,"▲")</f>
        <v>2</v>
      </c>
      <c r="AM5" s="9">
        <f t="shared" ref="AM5:AM15" si="2">COUNTIF(G5:AK5,"▲")*10</f>
        <v>0</v>
      </c>
      <c r="AN5" s="9">
        <f t="shared" ref="AN5:AN15" si="3">COUNTIF(G5:AK5,"☆")*10</f>
        <v>0</v>
      </c>
      <c r="AO5" s="10"/>
    </row>
    <row r="6" spans="2:44" ht="15.75">
      <c r="B6" s="50" t="s">
        <v>16</v>
      </c>
      <c r="C6" s="6" t="s">
        <v>6</v>
      </c>
      <c r="D6" s="47">
        <v>957610</v>
      </c>
      <c r="E6" s="51" t="s">
        <v>18</v>
      </c>
      <c r="F6" s="8" t="s">
        <v>6</v>
      </c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6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9">
        <f t="shared" ref="AL6" si="4">COUNTIF(G6:AK6,"○")+COUNTIF(G6:AK6,"▲")</f>
        <v>0</v>
      </c>
      <c r="AM6" s="9">
        <f t="shared" ref="AM6" si="5">COUNTIF(G6:AK6,"▲")*10</f>
        <v>0</v>
      </c>
      <c r="AN6" s="9">
        <f t="shared" ref="AN6" si="6">COUNTIF(G6:AK6,"☆")*10</f>
        <v>0</v>
      </c>
      <c r="AO6" s="46"/>
    </row>
    <row r="7" spans="2:44" ht="15.75">
      <c r="B7" s="50" t="s">
        <v>16</v>
      </c>
      <c r="C7" s="6" t="s">
        <v>21</v>
      </c>
      <c r="D7" s="3">
        <v>143615</v>
      </c>
      <c r="E7" s="7" t="s">
        <v>19</v>
      </c>
      <c r="F7" s="8" t="s">
        <v>20</v>
      </c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56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56"/>
      <c r="AH7" s="41"/>
      <c r="AI7" s="41"/>
      <c r="AJ7" s="41"/>
      <c r="AK7" s="41"/>
      <c r="AL7" s="9">
        <f t="shared" si="1"/>
        <v>0</v>
      </c>
      <c r="AM7" s="9">
        <f t="shared" si="2"/>
        <v>0</v>
      </c>
      <c r="AN7" s="9">
        <f t="shared" si="3"/>
        <v>0</v>
      </c>
      <c r="AO7" s="12"/>
    </row>
    <row r="8" spans="2:44" ht="15.75">
      <c r="B8" s="50"/>
      <c r="C8" s="6"/>
      <c r="D8" s="3"/>
      <c r="E8" s="7"/>
      <c r="F8" s="8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56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9">
        <f t="shared" si="1"/>
        <v>0</v>
      </c>
      <c r="AM8" s="9">
        <f t="shared" si="2"/>
        <v>0</v>
      </c>
      <c r="AN8" s="9">
        <f t="shared" si="3"/>
        <v>0</v>
      </c>
      <c r="AO8" s="13"/>
    </row>
    <row r="9" spans="2:44" ht="17.25" customHeight="1">
      <c r="B9" s="50"/>
      <c r="C9" s="6"/>
      <c r="D9" s="3"/>
      <c r="E9" s="7"/>
      <c r="F9" s="8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9">
        <f t="shared" si="1"/>
        <v>0</v>
      </c>
      <c r="AM9" s="9">
        <f t="shared" si="2"/>
        <v>0</v>
      </c>
      <c r="AN9" s="9">
        <f t="shared" si="3"/>
        <v>0</v>
      </c>
      <c r="AO9" s="13"/>
    </row>
    <row r="10" spans="2:44" ht="15.75">
      <c r="B10" s="50"/>
      <c r="C10" s="6"/>
      <c r="D10" s="3"/>
      <c r="E10" s="7"/>
      <c r="F10" s="8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56"/>
      <c r="AJ10" s="41"/>
      <c r="AK10" s="41"/>
      <c r="AL10" s="9">
        <f t="shared" si="1"/>
        <v>0</v>
      </c>
      <c r="AM10" s="9">
        <f t="shared" si="2"/>
        <v>0</v>
      </c>
      <c r="AN10" s="9">
        <f t="shared" si="3"/>
        <v>0</v>
      </c>
      <c r="AO10" s="13"/>
    </row>
    <row r="11" spans="2:44" ht="15.75">
      <c r="B11" s="50"/>
      <c r="C11" s="6"/>
      <c r="D11" s="3"/>
      <c r="E11" s="7"/>
      <c r="F11" s="8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9">
        <f>COUNTIF(G11:AK11,"○")+COUNTIF(G11:AK11,"▲")</f>
        <v>0</v>
      </c>
      <c r="AM11" s="9">
        <f>COUNTIF(G11:AK11,"▲")*10</f>
        <v>0</v>
      </c>
      <c r="AN11" s="9">
        <f>COUNTIF(G11:AK11,"☆")*10</f>
        <v>0</v>
      </c>
      <c r="AO11" s="13"/>
    </row>
    <row r="12" spans="2:44" ht="15.75">
      <c r="B12" s="50"/>
      <c r="C12" s="6"/>
      <c r="D12" s="3"/>
      <c r="E12" s="7"/>
      <c r="F12" s="8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9">
        <f t="shared" si="1"/>
        <v>0</v>
      </c>
      <c r="AM12" s="9">
        <f t="shared" si="2"/>
        <v>0</v>
      </c>
      <c r="AN12" s="9">
        <f t="shared" si="3"/>
        <v>0</v>
      </c>
      <c r="AO12" s="13"/>
    </row>
    <row r="13" spans="2:44" ht="15.75">
      <c r="B13" s="50"/>
      <c r="C13" s="6"/>
      <c r="D13" s="3"/>
      <c r="E13" s="7"/>
      <c r="F13" s="8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56"/>
      <c r="AH13" s="41"/>
      <c r="AI13" s="41"/>
      <c r="AJ13" s="41"/>
      <c r="AK13" s="41"/>
      <c r="AL13" s="9">
        <f>COUNTIF(G13:AK13,"○")+COUNTIF(G13:AK13,"▲")</f>
        <v>0</v>
      </c>
      <c r="AM13" s="9">
        <f>COUNTIF(G13:AK13,"▲")*10</f>
        <v>0</v>
      </c>
      <c r="AN13" s="9">
        <f>COUNTIF(G13:AK13,"☆")*10</f>
        <v>0</v>
      </c>
      <c r="AO13" s="13"/>
    </row>
    <row r="14" spans="2:44" ht="15.75">
      <c r="B14" s="50"/>
      <c r="C14" s="6"/>
      <c r="D14" s="3"/>
      <c r="E14" s="7"/>
      <c r="F14" s="8"/>
      <c r="G14" s="41"/>
      <c r="H14" s="41"/>
      <c r="I14" s="41"/>
      <c r="J14" s="41"/>
      <c r="K14" s="41"/>
      <c r="L14" s="41"/>
      <c r="M14" s="41"/>
      <c r="N14" s="41"/>
      <c r="O14" s="41"/>
      <c r="P14" s="56"/>
      <c r="Q14" s="56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56"/>
      <c r="AG14" s="41"/>
      <c r="AH14" s="41"/>
      <c r="AI14" s="41"/>
      <c r="AJ14" s="41"/>
      <c r="AK14" s="41"/>
      <c r="AL14" s="9">
        <f t="shared" si="1"/>
        <v>0</v>
      </c>
      <c r="AM14" s="9">
        <f t="shared" si="2"/>
        <v>0</v>
      </c>
      <c r="AN14" s="9">
        <f t="shared" si="3"/>
        <v>0</v>
      </c>
      <c r="AO14" s="13"/>
    </row>
    <row r="15" spans="2:44" ht="15.75">
      <c r="B15" s="50"/>
      <c r="C15" s="6"/>
      <c r="D15" s="3"/>
      <c r="E15" s="7"/>
      <c r="F15" s="8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9">
        <f t="shared" si="1"/>
        <v>0</v>
      </c>
      <c r="AM15" s="9">
        <f t="shared" si="2"/>
        <v>0</v>
      </c>
      <c r="AN15" s="9">
        <f t="shared" si="3"/>
        <v>0</v>
      </c>
      <c r="AO15" s="13"/>
    </row>
    <row r="16" spans="2:44" ht="15.75">
      <c r="B16" s="49"/>
      <c r="C16" s="15"/>
      <c r="D16" s="15"/>
      <c r="E16" s="15"/>
      <c r="F16" s="16" t="s">
        <v>10</v>
      </c>
      <c r="G16" s="41">
        <f>COUNTIF(G6:G15,"○")+COUNTIF(G7:G15,"▲")</f>
        <v>0</v>
      </c>
      <c r="H16" s="41">
        <f t="shared" ref="H16:AK16" si="7">COUNTIF(H6:H15,"○")+COUNTIF(H7:H15,"▲")</f>
        <v>0</v>
      </c>
      <c r="I16" s="41">
        <f t="shared" si="7"/>
        <v>0</v>
      </c>
      <c r="J16" s="41">
        <f t="shared" si="7"/>
        <v>0</v>
      </c>
      <c r="K16" s="41">
        <f t="shared" si="7"/>
        <v>0</v>
      </c>
      <c r="L16" s="41">
        <f t="shared" si="7"/>
        <v>0</v>
      </c>
      <c r="M16" s="41">
        <f t="shared" si="7"/>
        <v>0</v>
      </c>
      <c r="N16" s="41">
        <f t="shared" si="7"/>
        <v>0</v>
      </c>
      <c r="O16" s="41">
        <f t="shared" si="7"/>
        <v>0</v>
      </c>
      <c r="P16" s="41">
        <f t="shared" si="7"/>
        <v>0</v>
      </c>
      <c r="Q16" s="41">
        <f t="shared" si="7"/>
        <v>0</v>
      </c>
      <c r="R16" s="41">
        <f t="shared" si="7"/>
        <v>0</v>
      </c>
      <c r="S16" s="41">
        <f t="shared" si="7"/>
        <v>0</v>
      </c>
      <c r="T16" s="41">
        <f t="shared" si="7"/>
        <v>0</v>
      </c>
      <c r="U16" s="41">
        <f t="shared" si="7"/>
        <v>0</v>
      </c>
      <c r="V16" s="41">
        <f t="shared" si="7"/>
        <v>0</v>
      </c>
      <c r="W16" s="41">
        <f t="shared" si="7"/>
        <v>0</v>
      </c>
      <c r="X16" s="41">
        <f t="shared" si="7"/>
        <v>0</v>
      </c>
      <c r="Y16" s="41">
        <f t="shared" si="7"/>
        <v>0</v>
      </c>
      <c r="Z16" s="41">
        <f t="shared" si="7"/>
        <v>0</v>
      </c>
      <c r="AA16" s="41">
        <f t="shared" si="7"/>
        <v>0</v>
      </c>
      <c r="AB16" s="41">
        <f t="shared" si="7"/>
        <v>0</v>
      </c>
      <c r="AC16" s="41">
        <f t="shared" si="7"/>
        <v>0</v>
      </c>
      <c r="AD16" s="41">
        <f t="shared" si="7"/>
        <v>0</v>
      </c>
      <c r="AE16" s="41">
        <f t="shared" si="7"/>
        <v>0</v>
      </c>
      <c r="AF16" s="41">
        <f t="shared" si="7"/>
        <v>0</v>
      </c>
      <c r="AG16" s="41">
        <f t="shared" si="7"/>
        <v>0</v>
      </c>
      <c r="AH16" s="41">
        <f t="shared" si="7"/>
        <v>0</v>
      </c>
      <c r="AI16" s="41">
        <f t="shared" si="7"/>
        <v>0</v>
      </c>
      <c r="AJ16" s="41">
        <f t="shared" si="7"/>
        <v>0</v>
      </c>
      <c r="AK16" s="41">
        <f t="shared" si="7"/>
        <v>0</v>
      </c>
      <c r="AL16" s="9"/>
      <c r="AM16" s="9"/>
      <c r="AN16" s="9"/>
      <c r="AO16" s="17"/>
      <c r="AR16" s="1"/>
    </row>
    <row r="17" spans="2:41">
      <c r="B17" s="66"/>
      <c r="C17" s="67"/>
      <c r="D17" s="67"/>
      <c r="E17" s="67"/>
      <c r="F17" s="68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3"/>
      <c r="T17" s="43"/>
      <c r="U17" s="43"/>
      <c r="V17" s="43"/>
      <c r="W17" s="43"/>
      <c r="X17" s="43"/>
      <c r="Y17" s="43"/>
      <c r="Z17" s="44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9"/>
      <c r="AM17" s="9"/>
      <c r="AN17" s="9"/>
      <c r="AO17" s="13"/>
    </row>
    <row r="18" spans="2:41">
      <c r="C18" s="18"/>
      <c r="D18" s="18"/>
      <c r="E18" s="18"/>
      <c r="F18" s="18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19"/>
      <c r="AM18" s="19"/>
      <c r="AN18" s="19"/>
      <c r="AO18" s="20"/>
    </row>
    <row r="19" spans="2:41">
      <c r="C19" s="21"/>
      <c r="D19" s="22"/>
      <c r="E19" s="19"/>
      <c r="F19" s="19"/>
      <c r="G19" s="23"/>
      <c r="H19" s="23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1"/>
    </row>
    <row r="20" spans="2:41" ht="15.75">
      <c r="C20" s="25" t="s">
        <v>11</v>
      </c>
      <c r="D20" s="22"/>
      <c r="E20" s="19"/>
      <c r="F20" s="26"/>
      <c r="G20" s="23"/>
      <c r="H20" s="23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1"/>
    </row>
    <row r="21" spans="2:41">
      <c r="C21" s="27" t="s">
        <v>13</v>
      </c>
      <c r="D21" s="28"/>
      <c r="E21" s="19"/>
      <c r="F21" s="29"/>
      <c r="G21" s="30"/>
      <c r="H21" s="30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</row>
    <row r="22" spans="2:41">
      <c r="C22" s="31"/>
      <c r="D22" s="32"/>
      <c r="E22" s="32"/>
      <c r="F22" s="32"/>
      <c r="G22" s="33"/>
      <c r="H22" s="33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1"/>
    </row>
    <row r="23" spans="2:41">
      <c r="C23" s="31"/>
      <c r="D23" s="32"/>
      <c r="E23" s="32"/>
      <c r="F23" s="32"/>
      <c r="G23" s="33"/>
      <c r="H23" s="34"/>
      <c r="I23" s="35" t="s">
        <v>7</v>
      </c>
      <c r="J23" s="34"/>
      <c r="K23" s="14" t="s">
        <v>9</v>
      </c>
      <c r="L23" s="34"/>
      <c r="M23" s="36" t="s">
        <v>7</v>
      </c>
      <c r="N23" s="34"/>
      <c r="O23" s="11" t="s">
        <v>8</v>
      </c>
      <c r="P23" s="34"/>
      <c r="Q23" s="37" t="s">
        <v>24</v>
      </c>
      <c r="R23" s="34"/>
      <c r="S23" s="37" t="s">
        <v>7</v>
      </c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</row>
    <row r="24" spans="2:41">
      <c r="C24" s="31"/>
      <c r="D24" s="32"/>
      <c r="E24" s="32"/>
      <c r="F24" s="32"/>
      <c r="G24" s="33"/>
      <c r="H24" s="33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2"/>
      <c r="AJ24" s="32"/>
      <c r="AK24" s="32"/>
    </row>
    <row r="25" spans="2:41">
      <c r="C25" s="31"/>
      <c r="D25" s="32"/>
      <c r="E25" s="32"/>
      <c r="F25" s="32"/>
      <c r="G25" s="33"/>
      <c r="H25" s="33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2"/>
      <c r="AJ25" s="2"/>
      <c r="AK25" s="2"/>
    </row>
    <row r="26" spans="2:41" ht="16.5">
      <c r="C26" s="31"/>
      <c r="D26" s="32"/>
      <c r="E26" s="32"/>
      <c r="F26" s="32"/>
      <c r="G26" s="33"/>
      <c r="H26" s="33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8"/>
      <c r="Z26" s="34"/>
      <c r="AA26" s="34"/>
      <c r="AB26" s="34"/>
      <c r="AC26" s="34"/>
      <c r="AD26" s="34"/>
      <c r="AE26" s="34"/>
      <c r="AF26" s="34"/>
      <c r="AG26" s="34"/>
      <c r="AH26" s="34"/>
      <c r="AI26" s="32"/>
      <c r="AJ26" s="32"/>
      <c r="AK26" s="32"/>
    </row>
    <row r="27" spans="2:41">
      <c r="C27" s="31"/>
      <c r="D27" s="32"/>
      <c r="E27" s="32"/>
      <c r="F27" s="32"/>
      <c r="G27" s="33"/>
      <c r="H27" s="33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2"/>
      <c r="AJ27" s="32"/>
      <c r="AK27" s="32"/>
    </row>
    <row r="28" spans="2:41">
      <c r="AI28" s="2"/>
      <c r="AJ28" s="2"/>
      <c r="AK28" s="2"/>
    </row>
    <row r="29" spans="2:41">
      <c r="AI29" s="2"/>
      <c r="AJ29" s="2"/>
      <c r="AK29" s="2"/>
    </row>
  </sheetData>
  <mergeCells count="3">
    <mergeCell ref="B17:F17"/>
    <mergeCell ref="D3:F3"/>
    <mergeCell ref="AO3:AO4"/>
  </mergeCells>
  <phoneticPr fontId="1" type="noConversion"/>
  <conditionalFormatting sqref="G3:AK15">
    <cfRule type="expression" dxfId="0" priority="1">
      <formula>WEEKDAY(DATE($D$1,$G$1,G$4),2)&gt;5</formula>
    </cfRule>
  </conditionalFormatting>
  <dataValidations disablePrompts="1" count="1">
    <dataValidation type="list" allowBlank="1" showInputMessage="1" showErrorMessage="1" sqref="G1" xr:uid="{8BE24AE5-D203-443B-836A-E3717FF0C23A}">
      <formula1>"1,2,3,4,5,6,7,8,9,10,11,12"</formula1>
    </dataValidation>
  </dataValidations>
  <pageMargins left="0.70866141732283472" right="0.70866141732283472" top="0.74803149606299213" bottom="0.74803149606299213" header="0.31496062992125984" footer="0.31496062992125984"/>
  <pageSetup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Spinner 1">
              <controlPr defaultSize="0" autoPict="0">
                <anchor moveWithCells="1" sizeWithCells="1">
                  <from>
                    <xdr:col>3</xdr:col>
                    <xdr:colOff>638175</xdr:colOff>
                    <xdr:row>0</xdr:row>
                    <xdr:rowOff>28575</xdr:rowOff>
                  </from>
                  <to>
                    <xdr:col>4</xdr:col>
                    <xdr:colOff>390525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Spinner 2">
              <controlPr defaultSize="0" autoPict="0">
                <anchor moveWithCells="1" sizeWithCells="1">
                  <from>
                    <xdr:col>7</xdr:col>
                    <xdr:colOff>38100</xdr:colOff>
                    <xdr:row>0</xdr:row>
                    <xdr:rowOff>28575</xdr:rowOff>
                  </from>
                  <to>
                    <xdr:col>8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8610-C031-43CE-92CF-F11F212D7EDE}">
  <dimension ref="A1:B9"/>
  <sheetViews>
    <sheetView workbookViewId="0">
      <selection activeCell="F9" sqref="F9"/>
    </sheetView>
  </sheetViews>
  <sheetFormatPr defaultColWidth="7.875" defaultRowHeight="16.5"/>
  <cols>
    <col min="1" max="2" width="20.875" customWidth="1"/>
    <col min="4" max="4" width="12.375" customWidth="1"/>
    <col min="5" max="5" width="12.125" customWidth="1"/>
  </cols>
  <sheetData>
    <row r="1" spans="1:2" ht="24">
      <c r="A1" s="63" t="s">
        <v>26</v>
      </c>
      <c r="B1" s="63" t="s">
        <v>27</v>
      </c>
    </row>
    <row r="2" spans="1:2" ht="20.25">
      <c r="A2" s="64" t="s">
        <v>28</v>
      </c>
      <c r="B2" s="64" t="s">
        <v>43</v>
      </c>
    </row>
    <row r="3" spans="1:2" ht="20.25">
      <c r="A3" s="65" t="s">
        <v>29</v>
      </c>
      <c r="B3" s="65" t="s">
        <v>30</v>
      </c>
    </row>
    <row r="4" spans="1:2" ht="20.25">
      <c r="A4" s="64" t="s">
        <v>31</v>
      </c>
      <c r="B4" s="64" t="s">
        <v>32</v>
      </c>
    </row>
    <row r="5" spans="1:2" ht="20.25">
      <c r="A5" s="65" t="s">
        <v>33</v>
      </c>
      <c r="B5" s="65" t="s">
        <v>34</v>
      </c>
    </row>
    <row r="6" spans="1:2" ht="20.25">
      <c r="A6" s="64" t="s">
        <v>35</v>
      </c>
      <c r="B6" s="64" t="s">
        <v>36</v>
      </c>
    </row>
    <row r="7" spans="1:2" ht="20.25">
      <c r="A7" s="65" t="s">
        <v>37</v>
      </c>
      <c r="B7" s="65" t="s">
        <v>38</v>
      </c>
    </row>
    <row r="8" spans="1:2" ht="20.25">
      <c r="A8" s="64" t="s">
        <v>39</v>
      </c>
      <c r="B8" s="64" t="s">
        <v>40</v>
      </c>
    </row>
    <row r="9" spans="1:2" ht="20.25">
      <c r="A9" s="65" t="s">
        <v>41</v>
      </c>
      <c r="B9" s="65" t="s">
        <v>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維修總時數</vt:lpstr>
      <vt:lpstr>01</vt:lpstr>
      <vt:lpstr>行事曆</vt:lpstr>
    </vt:vector>
  </TitlesOfParts>
  <Company>SPIL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2023-10-26T11:21:17Z</cp:lastPrinted>
  <dcterms:created xsi:type="dcterms:W3CDTF">2023-09-06T09:18:14Z</dcterms:created>
  <dcterms:modified xsi:type="dcterms:W3CDTF">2024-03-19T08:53:58Z</dcterms:modified>
</cp:coreProperties>
</file>